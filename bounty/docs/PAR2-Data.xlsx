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-2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<sst xmlns="http://schemas.openxmlformats.org/spreadsheetml/2006/main" count="55" uniqueCount="24">
  <si>
    <t xml:space="preserve">Bounty</t>
  </si>
  <si>
    <t xml:space="preserve">2LS</t>
  </si>
  <si>
    <t xml:space="preserve">CPA</t>
  </si>
  <si>
    <t xml:space="preserve">Uautomizer</t>
  </si>
  <si>
    <t xml:space="preserve">EndWatch</t>
  </si>
  <si>
    <t xml:space="preserve">Suite</t>
  </si>
  <si>
    <t xml:space="preserve">TO</t>
  </si>
  <si>
    <t xml:space="preserve">†</t>
  </si>
  <si>
    <t xml:space="preserve">U</t>
  </si>
  <si>
    <t xml:space="preserve">SV-COMP</t>
  </si>
  <si>
    <t xml:space="preserve">-</t>
  </si>
  <si>
    <t xml:space="preserve">TermComp</t>
  </si>
  <si>
    <t xml:space="preserve">OSS</t>
  </si>
  <si>
    <t xml:space="preserve">CVE</t>
  </si>
  <si>
    <t xml:space="preserve">Total</t>
  </si>
  <si>
    <t xml:space="preserve">Time for Successful solving of benchmarks</t>
  </si>
  <si>
    <t xml:space="preserve">#tasks denotes the no. of successfully solved</t>
  </si>
  <si>
    <t xml:space="preserve">UA</t>
  </si>
  <si>
    <t xml:space="preserve">#Total</t>
  </si>
  <si>
    <t xml:space="preserve">#Solved</t>
  </si>
  <si>
    <t xml:space="preserve">Time</t>
  </si>
  <si>
    <t xml:space="preserve">Penalty</t>
  </si>
  <si>
    <t xml:space="preserve">#tasks</t>
  </si>
  <si>
    <t xml:space="preserve">PAR-2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</si>
</sst>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1C1"/>
      </patternFill>
    </fill>
    <fill>
      <patternFill patternType="solid">
        <fgColor rgb="FF54B948"/>
        <bgColor rgb="FF99CC00"/>
      </patternFill>
    </fill>
    <fill>
      <patternFill patternType="solid">
        <fgColor theme="8" tint="0.8"/>
        <bgColor rgb="FFFFFF99"/>
      </patternFill>
    </fill>
    <fill>
      <patternFill patternType="solid">
        <fgColor theme="7" tint="0.8"/>
        <bgColor rgb="FFFF99CC"/>
      </patternFill>
    </fill>
    <fill>
      <patternFill patternType="solid">
        <fgColor theme="6" tint="0.4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B7E34"/>
      <rgbColor rgb="FF0066CC"/>
      <rgbColor rgb="FFF5B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4B94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6.25"/>
    <col collapsed="false" customWidth="true" hidden="false" outlineLevel="0" max="3" min="3" style="1" width="7.48"/>
    <col collapsed="false" customWidth="true" hidden="false" outlineLevel="0" max="4" min="4" style="1" width="9.13"/>
    <col collapsed="false" customWidth="true" hidden="false" outlineLevel="0" max="5" min="5" style="1" width="7.37"/>
    <col collapsed="false" customWidth="true" hidden="false" outlineLevel="0" max="6" min="6" style="1" width="6.51"/>
    <col collapsed="false" customWidth="false" hidden="false" outlineLevel="0" max="7" min="7" style="1" width="11.53"/>
    <col collapsed="false" customWidth="true" hidden="false" outlineLevel="0" max="8" min="8" style="1" width="8.34"/>
    <col collapsed="false" customWidth="true" hidden="false" outlineLevel="0" max="9" min="9" style="1" width="7.3"/>
    <col collapsed="false" customWidth="false" hidden="false" outlineLevel="0" max="10" min="10" style="1" width="11.53"/>
    <col collapsed="false" customWidth="true" hidden="false" outlineLevel="0" max="11" min="11" style="1" width="8.77"/>
    <col collapsed="false" customWidth="true" hidden="false" outlineLevel="0" max="12" min="12" style="1" width="6.7"/>
    <col collapsed="false" customWidth="false" hidden="false" outlineLevel="0" max="13" min="13" style="1" width="11.53"/>
    <col collapsed="false" customWidth="true" hidden="false" outlineLevel="0" max="14" min="14" style="1" width="8.25"/>
    <col collapsed="false" customWidth="false" hidden="false" outlineLevel="0" max="16384" min="15" style="1" width="11.53"/>
  </cols>
  <sheetData>
    <row r="2" customFormat="false" ht="12.8" hidden="false" customHeight="false" outlineLevel="0" collapsed="false">
      <c r="B2" s="1" t="s">
        <v>0</v>
      </c>
      <c r="F2" s="1" t="s">
        <v>1</v>
      </c>
      <c r="K2" s="1" t="s">
        <v>2</v>
      </c>
      <c r="N2" s="1" t="s">
        <v>3</v>
      </c>
      <c r="Q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  <c r="E3" s="1" t="s">
        <v>8</v>
      </c>
      <c r="F3" s="1" t="s">
        <v>6</v>
      </c>
      <c r="H3" s="1" t="s">
        <v>7</v>
      </c>
      <c r="I3" s="1" t="s">
        <v>8</v>
      </c>
      <c r="K3" s="1" t="s">
        <v>6</v>
      </c>
      <c r="L3" s="1" t="s">
        <v>7</v>
      </c>
      <c r="M3" s="1" t="s">
        <v>8</v>
      </c>
      <c r="N3" s="1" t="s">
        <v>6</v>
      </c>
      <c r="O3" s="1" t="s">
        <v>7</v>
      </c>
      <c r="P3" s="1" t="s">
        <v>8</v>
      </c>
      <c r="Q3" s="1" t="s">
        <v>6</v>
      </c>
      <c r="R3" s="1" t="s">
        <v>7</v>
      </c>
      <c r="S3" s="1" t="s">
        <v>8</v>
      </c>
    </row>
    <row r="4" customFormat="false" ht="12.8" hidden="false" customHeight="false" outlineLevel="0" collapsed="false">
      <c r="A4" s="1" t="s">
        <v>9</v>
      </c>
      <c r="B4" s="2" t="n">
        <v>6</v>
      </c>
      <c r="C4" s="1" t="n">
        <v>2</v>
      </c>
      <c r="E4" s="1" t="n">
        <v>8</v>
      </c>
      <c r="F4" s="1" t="n">
        <v>10</v>
      </c>
      <c r="H4" s="1" t="n">
        <v>15</v>
      </c>
      <c r="I4" s="1" t="n">
        <v>60</v>
      </c>
      <c r="K4" s="1" t="n">
        <v>81</v>
      </c>
      <c r="L4" s="1" t="n">
        <v>8</v>
      </c>
      <c r="M4" s="1" t="n">
        <v>52</v>
      </c>
      <c r="N4" s="1" t="n">
        <v>28</v>
      </c>
      <c r="O4" s="1" t="n">
        <v>4</v>
      </c>
      <c r="P4" s="1" t="n">
        <v>216</v>
      </c>
      <c r="Q4" s="1" t="s">
        <v>10</v>
      </c>
      <c r="R4" s="1" t="s">
        <v>10</v>
      </c>
      <c r="S4" s="1" t="s">
        <v>10</v>
      </c>
    </row>
    <row r="5" customFormat="false" ht="12.8" hidden="false" customHeight="false" outlineLevel="0" collapsed="false">
      <c r="A5" s="1" t="s">
        <v>11</v>
      </c>
      <c r="B5" s="2" t="n">
        <v>0</v>
      </c>
      <c r="C5" s="1" t="n">
        <v>0</v>
      </c>
      <c r="E5" s="1" t="n">
        <v>0</v>
      </c>
      <c r="F5" s="1" t="n">
        <v>0</v>
      </c>
      <c r="H5" s="1" t="n">
        <v>0</v>
      </c>
      <c r="I5" s="1" t="n">
        <v>10</v>
      </c>
      <c r="K5" s="1" t="n">
        <v>4</v>
      </c>
      <c r="L5" s="1" t="n">
        <v>0</v>
      </c>
      <c r="M5" s="1" t="n">
        <v>0</v>
      </c>
      <c r="N5" s="1" t="n">
        <v>3</v>
      </c>
      <c r="O5" s="1" t="n">
        <v>0</v>
      </c>
      <c r="P5" s="1" t="n">
        <v>1</v>
      </c>
      <c r="Q5" s="1" t="n">
        <v>11</v>
      </c>
      <c r="R5" s="1" t="n">
        <v>0</v>
      </c>
      <c r="S5" s="1" t="n">
        <v>0</v>
      </c>
    </row>
    <row r="6" customFormat="false" ht="12.8" hidden="false" customHeight="false" outlineLevel="0" collapsed="false">
      <c r="A6" s="1" t="s">
        <v>12</v>
      </c>
      <c r="B6" s="1" t="n">
        <v>5</v>
      </c>
      <c r="C6" s="1" t="n">
        <v>0</v>
      </c>
      <c r="E6" s="1" t="n">
        <v>2</v>
      </c>
      <c r="F6" s="1" t="n">
        <v>0</v>
      </c>
      <c r="H6" s="1" t="n">
        <v>6</v>
      </c>
      <c r="I6" s="1" t="n">
        <v>12</v>
      </c>
      <c r="K6" s="1" t="n">
        <v>8</v>
      </c>
      <c r="L6" s="1" t="n">
        <v>12</v>
      </c>
      <c r="M6" s="1" t="n">
        <v>3</v>
      </c>
      <c r="N6" s="1" t="n">
        <v>6</v>
      </c>
      <c r="O6" s="1" t="n">
        <v>7</v>
      </c>
      <c r="P6" s="1" t="n">
        <v>10</v>
      </c>
      <c r="Q6" s="1" t="n">
        <v>8</v>
      </c>
      <c r="R6" s="1" t="n">
        <v>0</v>
      </c>
      <c r="S6" s="1" t="n">
        <v>0</v>
      </c>
    </row>
    <row r="7" customFormat="false" ht="12.8" hidden="false" customHeight="false" outlineLevel="0" collapsed="false">
      <c r="A7" s="1" t="s">
        <v>13</v>
      </c>
      <c r="B7" s="1" t="n">
        <v>8</v>
      </c>
      <c r="C7" s="1" t="n">
        <v>0</v>
      </c>
      <c r="E7" s="1" t="n">
        <v>0</v>
      </c>
      <c r="F7" s="1" t="n">
        <v>0</v>
      </c>
      <c r="H7" s="1" t="n">
        <v>0</v>
      </c>
      <c r="I7" s="1" t="n">
        <v>8</v>
      </c>
      <c r="K7" s="1" t="n">
        <v>0</v>
      </c>
      <c r="L7" s="1" t="n">
        <v>8</v>
      </c>
      <c r="M7" s="1" t="n">
        <v>0</v>
      </c>
      <c r="N7" s="1" t="n">
        <v>0</v>
      </c>
      <c r="O7" s="1" t="n">
        <v>3</v>
      </c>
      <c r="P7" s="1" t="n">
        <v>2</v>
      </c>
      <c r="Q7" s="1" t="n">
        <v>0</v>
      </c>
      <c r="R7" s="1" t="n">
        <v>0</v>
      </c>
      <c r="S7" s="1" t="n">
        <v>0</v>
      </c>
    </row>
    <row r="8" customFormat="false" ht="12.8" hidden="false" customHeight="false" outlineLevel="0" collapsed="false">
      <c r="A8" s="1" t="s">
        <v>14</v>
      </c>
      <c r="B8" s="1" t="n">
        <f aca="false">SUM(B4:B7)</f>
        <v>19</v>
      </c>
      <c r="C8" s="1" t="n">
        <f aca="false">SUM(C4:C7)</f>
        <v>2</v>
      </c>
      <c r="E8" s="1" t="n">
        <f aca="false">SUM(E4:E7)</f>
        <v>10</v>
      </c>
      <c r="F8" s="1" t="n">
        <f aca="false">SUM(F4:F7)</f>
        <v>10</v>
      </c>
      <c r="H8" s="1" t="n">
        <f aca="false">SUM(H4:H7)</f>
        <v>21</v>
      </c>
      <c r="I8" s="1" t="n">
        <f aca="false">SUM(I4:I7)</f>
        <v>90</v>
      </c>
      <c r="K8" s="1" t="n">
        <f aca="false">SUM(K4:K7)</f>
        <v>93</v>
      </c>
      <c r="L8" s="1" t="n">
        <f aca="false">SUM(L4:L7)</f>
        <v>28</v>
      </c>
      <c r="M8" s="1" t="n">
        <f aca="false">SUM(M4:M7)</f>
        <v>55</v>
      </c>
      <c r="N8" s="1" t="n">
        <f aca="false">SUM(N4:N7)</f>
        <v>37</v>
      </c>
      <c r="O8" s="1" t="n">
        <f aca="false">SUM(O4:O7)</f>
        <v>14</v>
      </c>
      <c r="P8" s="1" t="n">
        <f aca="false">SUM(P4:P7)</f>
        <v>229</v>
      </c>
      <c r="Q8" s="1" t="n">
        <f aca="false">SUM(Q4:Q7)</f>
        <v>19</v>
      </c>
      <c r="R8" s="1" t="n">
        <f aca="false">SUM(R4:R7)</f>
        <v>0</v>
      </c>
      <c r="S8" s="1" t="n">
        <f aca="false">SUM(S4:S7)</f>
        <v>0</v>
      </c>
    </row>
    <row r="10" customFormat="false" ht="12.8" hidden="false" customHeight="false" outlineLevel="0" collapsed="false">
      <c r="A10" s="1" t="s">
        <v>15</v>
      </c>
    </row>
    <row r="11" customFormat="false" ht="12.8" hidden="false" customHeight="false" outlineLevel="0" collapsed="false">
      <c r="A11" s="1" t="s">
        <v>16</v>
      </c>
    </row>
    <row r="12" customFormat="false" ht="12.8" hidden="false" customHeight="false" outlineLevel="0" collapsed="false">
      <c r="C12" s="3" t="s">
        <v>0</v>
      </c>
      <c r="D12" s="3"/>
      <c r="E12" s="3"/>
      <c r="F12" s="4" t="s">
        <v>1</v>
      </c>
      <c r="G12" s="4"/>
      <c r="H12" s="4"/>
      <c r="I12" s="5" t="s">
        <v>2</v>
      </c>
      <c r="J12" s="5"/>
      <c r="K12" s="5"/>
      <c r="L12" s="6" t="s">
        <v>17</v>
      </c>
      <c r="M12" s="6"/>
      <c r="N12" s="6"/>
    </row>
    <row r="13" s="7" customFormat="true" ht="12.8" hidden="false" customHeight="false" outlineLevel="0" collapsed="false">
      <c r="A13" s="7" t="s">
        <v>5</v>
      </c>
      <c r="B13" s="7" t="s">
        <v>18</v>
      </c>
      <c r="C13" s="8" t="s">
        <v>19</v>
      </c>
      <c r="D13" s="8" t="s">
        <v>20</v>
      </c>
      <c r="E13" s="8" t="s">
        <v>21</v>
      </c>
      <c r="F13" s="9" t="s">
        <v>22</v>
      </c>
      <c r="G13" s="9" t="s">
        <v>20</v>
      </c>
      <c r="H13" s="9" t="s">
        <v>21</v>
      </c>
      <c r="I13" s="10" t="s">
        <v>22</v>
      </c>
      <c r="J13" s="10" t="s">
        <v>20</v>
      </c>
      <c r="K13" s="10" t="s">
        <v>21</v>
      </c>
      <c r="L13" s="11" t="s">
        <v>22</v>
      </c>
      <c r="M13" s="11" t="s">
        <v>20</v>
      </c>
      <c r="N13" s="11" t="s">
        <v>21</v>
      </c>
    </row>
    <row r="14" customFormat="false" ht="12.8" hidden="false" customHeight="false" outlineLevel="0" collapsed="false">
      <c r="A14" s="1" t="s">
        <v>9</v>
      </c>
      <c r="B14" s="1" t="n">
        <v>763</v>
      </c>
      <c r="C14" s="1" t="n">
        <v>747</v>
      </c>
      <c r="D14" s="1" t="n">
        <f aca="false">0.29+0.17+0.17+0.09+0.23+0.08+0.08+0.08+0.08+0.11+0.11+0.07+0.08+0.11+0.07+0.08+0.08+0.07+0.09+0.07+0.08+0.13+0.08+0.07+0.07+0.07+0.07+0.08+0.08+0.41+0.11+0.27+0.09+0.09+0.07+0.08+0.07+0.08+0.08+0.08+0.09+0.55+0.07+0.53+0.15+0.11+17+0.87+0.22+0.11+0.08+0.58+0.61+0.07+0.07+0.64+0.08+0.08+0.08+0.38+0.37+0.47+0.45+0.42+0.09+0.09+0.09+0.09+0.09+0.8+0.82+0.22+0.17+0.17+0.19+0.21+0.21+0.22+0.24+0.23+0.12+0.13+0.14+0.15+0.15+0.58+0.57+0.58+0.58+0.57+0.58+0.58+0.59+0.57+0.58+0.59+0.58+0.59+0.58+0.59+0.59+0.59+0.58+0.59+0.59+0.58+0.6+0.6+0.59+0.57+0.6+0.58+0.58+0.6+0.61+0.6+0.59+0.6+0.6+0.59+0.6+0.59+0.6+0.6+0.58+0.59+0.6+0.58+0.59+0.6+0.6+0.59+0.6+0.6+0.61+0.6+0.61+0.59+0.6+0.59+0.6+0.59+0.59+0.6+0.6+0.82+0.82+0.8+0.82+0.82+0.81+0.82+0.84+0.82+0.8+0.82+0.83+0.81+0.82+0.83+0.83+0.8+0.82+0.82+0.81+0.84+0.8+0.81+0.8+0.83+0.82+0.82+0.82+0.81+0.83+0.81+0.82+0.82+0.83+0.83+0.82+0.81+0.81+0.82+0.82+0.81+0.83+0.83+0.84+0.82+0.82+0.82+0.81+0.81+0.82+0.82+0.82+0.82+0.82+0.81+0.82+0.8+0.82+0.82+0.82+120+1.87+120+1.42+60+59.08+60+59.01+60+59.06+60+58+60+58.32+60+58.26+60+57.04+60+58.3+60+59.24+60+57.12+60+57.6+60+55.52+60+58.41+60+57.58+60+58.74+120+0.37+60+59.87+60+6.52+60+4.97+60+7.11+60+6.44+60+8.91+60+10.07+60+9.65+60+9.01+60+9.22+60+9.13+60+9.31+60+9.07+60+9.32+60+9.27+60+9.24+60+9.2+60+9.07+60+9.11+60+9.24+60+6.84+60+6.64+60+6.71+60+6.48+60+6.68+60+9.11+60+8.97+60+9.8+60+10.17+60+9.24+60+9.01+60+9.26+60+9.83+60+9.14+60+9.01+60+9.49+60+10.15+60+9.92+60+9.13+60+9.28+60+6.68+60+6.91+60+6.69+60+6.65+60+7.5+60+8.93+60+9.11+60+9.85+60+9.12+60+9.12+60+9.23+60+9.03+60+9.28+60+9.56+60+9.28+60+9.54+60+9.81+60+9.57+60+9.28+60+9.12+60+7.27+420+0.79+0.25+0.25+0.4+33.91+0.4+0.1+0.1+0.09+0.08+0.09+0.09+0.09+0.09+0.13+0.46+0.09+0.09+0.09+0.09+0.13+3.21+4.89+4.11+5.38+3.37+3.34+4.9+4.37+34.85+0.29+0.29+0.3+0.39+0.34+0.48+0.3+0.4+0.45+0.37+0.3+0.34+0.48+0.45+0.3+0.44+0.47+0.35+0.48+0.35+0.53+0.48+0.53+0.56+0.31+0.36+0.45+0.51+0.37+0.52+0.34+0.58+0.51+0.48+0.33+0.37+0.54+0.48+0.55+0.38+0.51+0.52+0.34+0.54+0.48+0.35+0.39+0.5+0.54+0.35+0.46+0.34+0.59+0.39+0.36+0.63+0.58+0.36+0.41+0.53+0.35+0.47+0.45+0.62+0.57+0.34+0.45+0.34+0.5+0.33+0.35+0.36+0.5+0.5+0.48+0.5+0.34+0.41+0.43+0.38+0.53+0.38+0.35+0.53+0.45+0.54+0.56+0.49+0.45+0.33+0.45+0.55+0.34+0.35+0.57+0.41+0.34+0.35+0.46+0.52+0.51+0.36+0.33+0.35+0.38+0.54+0.55+0.52+0.33+0.59+0.58+0.56+0.4+0.36+0.37+0.36+0.4+0.56+0.55+0.44+0.63+0.36+0.56+0.4+0.51+0.56+0.61+0.39+0.39+0.49+0.31+0.48+0.42+0.47+0.37+0.34+0.46+0.51+0.35+0.46+0.45+0.37+0.35+0.42+0.44+0.51+0.51+0.48+0.52+0.53+0.57+0.37+0.34+0.38+0.54+0.49+0.4+0.34+0.53+0.52+0.52+0.6+0.46+0.4+0.33+0.54+0.53+0.43+0.41+0.34+0.35+0.35+0.51+0.49+0.35+0.58+0.57+0.36+0.38+0.59+0.36+0.53+0.41+0.51+0.57+0.58+0.6+0.57+0.59+0.46+0.36+0.61+0.4+0.43+0.77+0.33+0.36+0.47+0.33+0.47+0.33+0.41+0.46+0.51+0.5+0.32+0.32+0.48+0.46+0.39+0.53+0.34+0.34+0.54+0.46+0.44+0.34+0.55+0.52+0.37+0.38+0.33+0.56+0.5+0.37+0.57+0.48+0.54+0.35+0.38+0.38+0.36+0.35+0.56+0.37+0.49+0.51+0.35+0.56+0.43+0.53+0.42+0.6+0.35+0.59+0.35+0.43+0.6+0.4+0.42+0.5+0.37+0.58+0.36+0.57+0.4+0.41+0.66+0.43+0.5+0.41+0.49+0.49+0.39+0.38+0.32+0.35+0.36+0.36+0.45+0.35+0.34+0.52+0.48+0.5+0.58+0.53+0.36+0.45+0.56+0.47+0.39+0.58+0.38+0.35+0.53+0.54+0.5+0.38+0.43+0.4+0.41+0.55+0.56+0.53+0.48+0.35+0.52+0.4+0.47+0.38+0.51+0.57+0.53+0.55+0.53+0.42+0.6+0.38+0.41+0.43+0.59+0.62+0.36+0.64+0.41+0.52+0.54+0.45+0.49+0.44+0.45+0.39+0.4+0.72+0.24+0.72+0.57+0.7+12.78+13.22+13.25+13.45+13.4+0.58+0.29+0.31+0.58+0.32+1.02+0.75+0.55+0.53+0.68+0.69+0.9+0.88+1.11+1.1+1.29+1.34+1.59+1.62+1.87+1.94+2.19+2.2+2.56+2.6+2.93+2.96+3.37+3.38+2.96+3.32+0.54+0.55+0.53+0.24+0.34+0.47+0.61+0.81+0.99+1.21+1.46+1.76+2.04+2.35+2.66+3.08+3.04+3.49+1.28+0.76+0.77+0.75+0.78+0.86+0.85+0.89+32.7+31.87+32.04+60+18.72+60+21.3+60+18.06+120+24.45+120+14.35+180+7.35+19.56+46.26+41.69+120+19.57+51+120+23.84+120+15.19+120+17.92+120+35.63+180+26.73+60+31.84+180+22.1+16.05+17.9+21.9+21.35+35.41+21.13+31.09+37.16+60+12.89+37.85+32.75+37.8+47.47+41.03+33.22+56.11+60+30.62+60+15.27+60+50.07+120+9.98+120+47.1</f>
        <v>10621.71</v>
      </c>
      <c r="E14" s="1" t="n">
        <f aca="false">(763-C14)*900</f>
        <v>14400</v>
      </c>
      <c r="F14" s="1" t="n">
        <v>678</v>
      </c>
      <c r="G14" s="1" t="n">
        <f aca="false">0.12+0.08+0.08+0.09+0.1+0.1+0.1+0.1+0.1+0.1+0.1+0.09+0.1+0.1+0.08+0.08+0.08+0.07+0.09+0.08+0.08+0.09+0.08+0.08+0.08+0.07+0.06+0.08+0.08+0.13+0.08+0.11+0.09+0.08+0.07+0.08+0.07+0.08+0.08+0.08+0.13+0.28+0.08+0.2+0.08+0.08+33.71+0.25+0.08+0.08+0.08+0.14+0.16+0.08+0.07+0.43+0.1+0.11+0.08+0.09+0.08+0.09+0.09+0.09+0.49+0.42+0.1+0.1+0.1+0.11+0.11+0.11+0.11+0.12+0.11+0.09+0.09+0.09+0.1+0.1+0.28+0.27+0.28+0.29+0.29+0.27+0.29+0.35+0.41+0.36+0.35+0.34+0.34+0.34+0.34+0.34+0.35+0.34+0.35+0.34+0.34+0.34+0.34+0.34+0.34+0.34+0.34+0.35+0.35+0.34+0.33+0.34+0.35+0.33+0.33+0.34+0.34+0.34+0.34+0.34+0.35+0.33+0.34+0.33+0.35+0.33+0.34+0.34+0.33+0.33+0.35+0.33+0.33+0.34+0.33+0.34+0.33+0.34+0.33+0.33+0.32+0.31+0.31+0.32+0.33+0.32+0.32+0.31+0.31+0.31+0.32+0.32+0.32+0.32+0.33+0.33+0.31+0.33+0.31+0.32+0.32+0.31+0.31+0.32+0.32+0.32+0.32+0.31+0.32+0.32+0.31+0.32+0.33+0.32+0.31+0.33+0.31+0.31+0.31+0.31+0.32+0.31+0.31+0.32+0.32+0.33+0.31+0.31+0.31+0.32+0.31+0.31+0.31+0.32+0.32+0.32+0.32+0.31+0.31+0.32+27.86+27.9+27.8+27.95+27.96+27.79+27.95+27.99+27.85+27.93+28.13+27.87+27.86+27.88+27.8+27.96+27.79+27.97+27.81+60+7.25+60+6.42+60+6.52+60+6.26+60+6.86+60+6.5+60+6.87+60+6.85+60+6.76+60+6.15+60+6.3+60+6.5+60+6.55+60+6.26+60+6.25+60+6.72+60+6.89+60+6.8+60+6.85+60+6.77+60+6.73+60+6.5+60+6.55+60+6.53+60+6.35+60+6.89+60+6.23+60+6.38+60+6.54+60+6.5+60+6.25+60+6.34+60+6.31+60+6.45+60+6.33+60+6.57+60+6.46+60+6.09+60+6.13+60+6.78+60+6.58+60+6.74+60+6.25+60+6.45+60+6.24+60+6.26+60+6.26+60+6.78+60+6.2+60+6.46+60+6.32+60+6.19+60+6.88+60+6.22+60+6.17+60+6.45+60+6.43+60+6.46+60+6.21+60+6.33+0.38+0.42+0.58+0.67+0.12+0.1+0.09+0.09+0.1+0.12+0.11+0.11+0.13+0.21+0.1+0.11+0.23+0.08+0.08+8.25+16.2+9.31+18.08+8.95+17.13+9.46+18.56+0.29+0.14+0.15+0.15+0.15+0.15+0.16+0.15+0.14+0.14+0.14+0.14+0.15+0.15+0.15+0.15+0.16+0.15+0.15+0.15+0.16+0.16+0.16+0.16+0.15+0.15+0.15+0.15+0.16+0.16+0.16+0.18+0.16+0.15+0.15+0.15+0.18+0.17+0.17+0.17+0.16+0.15+0.16+0.16+0.17+0.18+0.17+0.18+0.17+0.17+0.17+0.17+0.2+0.2+0.21+0.2+0.18+0.18+0.18+0.18+0.21+0.22+0.22+0.22+0.34+0.14+0.14+0.15+0.15+0.15+0.15+0.15+0.17+0.14+0.14+0.14+0.15+0.15+0.17+0.15+0.15+0.17+0.15+0.15+0.16+0.16+0.17+0.17+0.17+0.15+0.15+0.16+0.17+0.16+0.17+0.17+0.17+0.16+0.16+0.16+0.16+0.18+0.17+0.19+0.19+0.15+0.16+0.16+0.16+0.18+0.18+0.18+0.18+0.17+0.19+0.17+0.18+0.21+0.2+0.2+0.2+0.18+0.18+0.19+0.18+0.22+0.22+0.22+0.22+0.35+0.14+0.14+0.15+0.15+0.15+0.15+0.15+0.15+0.14+0.14+0.15+0.16+0.15+0.15+0.15+0.15+0.15+0.15+0.15+0.15+0.16+0.18+0.17+0.17+0.15+0.15+0.17+0.15+0.16+0.17+0.17+0.17+0.16+0.16+0.17+0.15+0.17+0.17+0.17+0.17+0.16+0.16+0.16+0.16+0.18+0.18+0.19+0.18+0.17+0.17+0.17+0.17+0.2+0.2+0.2+0.2+0.19+0.18+0.18+0.18+0.22+0.23+0.22+0.22+0.35+0.14+0.14+0.14+0.14+0.15+0.15+0.15+0.15+0.14+0.14+0.16+0.15+0.15+0.15+0.15+0.15+0.15+0.15+0.17+0.16+0.16+0.16+0.16+0.16+0.15+0.15+0.17+0.17+0.16+0.16+0.16+0.16+0.15+0.15+0.15+0.15+0.17+0.17+0.17+0.18+0.16+0.16+0.16+0.16+0.17+0.19+0.19+0.17+0.17+0.17+0.17+0.18+0.2+0.2+0.2+0.2+0.18+0.18+0.18+0.18+0.21+0.22+0.21+0.22+0.34+0.14+0.15+0.15+0.15+0.16+0.15+0.15+0.15+0.14+0.14+0.15+0.15+0.17+0.15+0.15+0.15+0.16+0.15+0.15+0.15+0.17+0.17+0.17+0.17+0.15+0.16+0.16+0.16+0.18+0.17+0.17+0.17+0.16+0.16+0.16+0.16+0.17+0.17+0.17+0.17+0.16+0.16+0.16+0.17+0.18+0.18+0.18+0.18+0.19+0.17+0.17+0.18+0.2+0.2+0.21+0.2+0.18+0.18+0.18+0.18+0.22+0.22+0.22+0.22+0.35+0.17+0.83+0.83+0.31+0.32+0.33+0.32+0.32+0.52+0.51+0.51+120+33.21+60+30.1+60+45.02+60+36.33+120+54.95+120+32.78+300+30.7+180+7.9+300+21.64+240+21.62+300+18.39+300+7.76+180+11.82+180+54.91+180+59.02+180+11.1+120+31.48+120+55.08+240+55.37+180+10.41+300+1.76+240+44.62+240+38.38+240+45.23+180+13.96+180+16.45+120+49.2+120+51.86+120+30.67+120+45.14+120+27.33+120+22.66+60+56.55+120+43.55+120+43.68+120+28.74</f>
        <v>12020.29</v>
      </c>
      <c r="H14" s="1" t="n">
        <f aca="false">(763-F14)*900</f>
        <v>76500</v>
      </c>
      <c r="I14" s="1" t="n">
        <v>621</v>
      </c>
      <c r="J14" s="1" t="n">
        <f aca="false">2.7+2.75+2.66+2.67+2.89+2.94+2.75+2.69+2.95+2.78+2.95+2.77+304+2.68+2.62+2.81+2.67+2.81+2.88+3.22+3.19+304.78+3.01+2.95+2.85+2.84+2.83+2.96+3.03+4.01+2.88+3.43+2.67+2.78+2.69+2.78+2.8+2.82+2.85+4.33+2.73+4.05+2.83+2.92+6.48+9.63+3.13+2.88+2.95+4.19+423.15+3.05+2.86+2.79+2.79+2.87+304.13+3.18+3.27+3.16+2.86+3.15+9.18+9.14+3.58+213.66+315.98+329.88+328.39+340.48+307.07+343.89+368.31+4.37+5.66+7.56+14.82+45.74+10.9+11.21+11.73+12.05+14.84+14.65+13.76+14.03+13.66+15.12+13.68+13.38+13.07+12.99+13.45+13.14+13.08+13.24+12.81+13.38+13.18+13.34+13.25+13.33+13.02+13.91+13.01+13.32+13.19+12.99+12.78+12.77+12.72+13.65+13.47+13.21+12.8+12.9+12.96+13.37+13.02+12.97+12.69+13.16+12.89+13.12+13.91+14.36+13.5+13.36+13.18+12.8+13.19+13.46+13.2+13.17+13.07+13.3+13.14+13.41+12.44+12.35+12.64+12.51+13.09+12.19+12.62+12.07+12.94+12.87+12.27+12.42+12.27+12.89+13.29+12.98+12.55+12.51+12.27+12.82+12.52+12.98+12.89+12.96+12.88+12.41+12.68+12.46+12.75+12.33+13.02+12.88+12.7+12.78+13.22+12.85+12.68+12.83+12.89+12.65+12.68+12.62+12.7+12.94+13.11+12.45+12.31+13.16+13.48+13.09+13.11+12.54+12.71+12.92+12.85+12.63+13.02+12.72+12.4+12.09+64.57+63.71+60.43+60.68+60.49+62.92+59.65+66.43+64.36+62.33+67.8+62.01+61.63+64.26+65.96+64.29+64.96+64.52+62.83+21.26+23.56+23.13+22.57+22.57+21.41+22.53+22.23+23.08+22.56+23.24+22.16+22.5+23.12+22.56+22.62+22.79+22.72+22.94+22.49+22.45+22.78+21.58+23.38+22.33+22.73+22.19+22.46+22.57+22.67+22.54+23.24+21.68+22.77+23.47+22.97+22.17+22.64+22.34+22.88+22.53+22.58+22.31+22.57+23.16+22.11+21.56+22.46+23.26+22.16+21.82+22.77+22.27+21.53+22.86+22.56+21.89+22.27+22.56+22.61+21.38+5.39+5.85+4.28+3.81+3.31+303.61+303.55+3.26+2.75+3.11+3.2+3.22+3.1+303.5+2.95+303.8+303.46+303.28+303.41+3.13+14.4+3.1+3.2+3.07+3.25+3.12+13.73+13.59+14.11+16.19+13.41+14.55+13.64+14.34+13.92+15.57+12.78+13.88+14.98+16.46+12.08+13.96+15.73+17.22+14.06+14.89+14.42+16.18+13.13+15.27+15.14+17.17+13.98+15.59+13.6+15.48+14.15+14.45+14.25+19.79+17.01+15.68+14.23+18.95+17.39+17.38+14.45+14.67+14.84+16.95+18.48+14.73+14.65+18.65+17.56+16.97+16.38+20.52+18.59+64.56+12.4+14.03+15.27+16.36+13.47+15.58+14.31+14.89+14.28+15.83+13.93+14.86+15.56+16.01+13.66+16.6+15.6+16.05+15.6+14.46+14.17+16.52+13.95+15.66+15.72+16.08+16.04+15.02+15.66+17.17+15.56+15.46+16.26+18.55+17.23+17.47+16.81+18.22+17.33+20.51+17.5+17.68+19.19+17.24+17.19+18.48+20.33+18.03+17.26+20.06+17.39+19.1+20.22+21.07+19.42+50.32+8.03+8.66+8.85+8.9+8.98+8.64+9.11+8.93+8.7+8.56+8.98+8.86+8.78+8.86+9.06+9.1+9.13+8.77+8.82+8.69+8.86+9.48+9.36+9.59+8.84+9.02+8.88+9.52+9.43+9.68+9.51+9.47+17.86+15.7+14.3+14.05+18.7+16.08+15.43+14.48+18.84+20.45+18.36+17.15+20.57+17.75+19+19.27+18.78+15.25+15.21+15.2+20.69+17.61+16.96+16.73+18.78+19.06+18.18+18.82+20.12+21.08+21.2+19.98+51.33+12.67+14.05+14.05+14.29+14.03+12.82+12.78+14.19+14.11+15.18+13.78+12.87+13.28+14.38+13.83+13.08+13.75+16.21+14.47+14.93+14.43+14.43+13.35+12.62+13.82+16.8+14.68+15.1+15.53+15.91+18.59+14.89+17.44+15.52+14.55+17.94+16.31+13.46+19.35+20.73+15.09+17.71+16.91+17.82+17.21+17.78+19.85+18.72+14.91+18.85+18.27+16.34+20.32+32.89+12.07+14.57+13.34+14.65+16.58+15.29+12.94+14.03+14.45+13.29+14.23+15.17+14.69+13.86+17.02+14.8+15.55+13.53+14.1+15.96+14.28+13.93+14.49+16.74+14.95+14.28+14.45+15.69+13.87+14.6+18.96+15.81+15.1+19.36+14.35+18.34+15.74+18.77+15.58+19.65+19.21+17.02+21.34+19.92+15.89+21.67+16.03+21.56+18.78+49.79+3.73+4.73+4.21+4.99+6.15+6.14+6.03+6.17+6.21+4.91+4.68+4.12+4.16+4.41+8.64+8.35+6.74+6.62+9.91+10.82+19.38+18+27.64+24.98+77.15+77.35+390.37+400.63+4.94+4.93+4.9+3.6+4.33+5.92+8.5+15.5+27.28+73.7</f>
        <v>16252.52</v>
      </c>
      <c r="K14" s="1" t="n">
        <f aca="false">(763-I14)*900</f>
        <v>127800</v>
      </c>
      <c r="L14" s="1" t="n">
        <v>515</v>
      </c>
      <c r="M14" s="1" t="n">
        <f aca="false">3.12+3+3.32+3.3+3.87+4.16+3.56+3.3+3.75+3.46+3.64+3.39+3.77+3.64+3.49+5.61+4.07+3.56+3.62+3.43+3.23+3.56+4.11+3.96+10.93+3.38+5.5+3.71+3.46+3.6+6.11+3.34+3.66+3.41+3.48+4.44+11.22+3.13+9.86+4.88+41.8+8.47+5.27+3.33+8.29+7.59+3.15+3.33+3.75+52.75+4.04+3.6+5.19+7.6+7.59+8.6+3.33+3.82+3.58+3.72+3.54+6.21+5.97+5.5+5.22+5.74+6.37+7.98+10.82+6.62+8.84+16.79+3.96+3.82+4.21+4.74+4.78+16.08+15.86+16.74+16.09+16.5+15.77+16.16+15.87+16.06+16.22+15.82+16.56+15.71+15.99+16.41+16.17+15.69+16.24+16.42+16.23+15.45+16.22+15.78+16.41+16.55+16.58+16.12+15.99+15.87+16.18+16.22+16.59+16.2+15.41+16.17+16.48+15.55+15.9+16.53+15.36+16.27+15.65+16.52+15.75+15.51+15.95+15.84+16.24+16.54+16.29+16.46+15.68+16.16+16.22+15.65+16.58+16.46+16.32+16.46+16.27+4.13+4.62+4.2+19.12+4.14+4.06+4.67+3.5+3.92+3.91+4.01+4.14+3.55+3.53+28.41+37.79+3.6+3.82+3.62+3.45+3.75+5.28+4.7+4.74+4.5+4.75+4.72+4.73+4.73+4.78+4.53+4.55+4.58+4.92+4.85+4.83+4.49+4.66+4.57+4.57+4.66+4.79+4.7+4.96+4.83+4.8+4.45+5.1+4.97+4.87+4.95+4.97+4.59+4.78+4.62+4.82+4.76+5.13+4.85+5.16+4.71+5.21+4.76+4.92+4.97+4.92+4.83+5.04+5.2+5.06+4.9+5.05+5.08+5.28+4.94+5.27+5.39+5.25+4.8+5.06+5.16+5.35+5.42+5.75+5.32+6.19+4.55+4.78+4.8+4.44+4.97+4.65+4.96+4.92+4.71+4.94+4.65+4.88+4.64+4.74+4.96+4.78+4.65+4.6+4.97+4.53+4.96+4.83+5+4.9+4.81+4.67+4.75+4.47+5.11+4.85+5.04+4.86+4.76+5.07+4.9+5.23+5.06+5.16+5.18+4.84+4.93+5.13+5.05+5.19+4.99+5.15+5.2+5.46+5.23+5.16+5.39+4.93+5.39+4.89+5.2+5.18+4.87+5.18+5.1+4.91+5.15+5.47+5.56+5.31+5.86+4.94+4.66+5+4.9+4.85+4.83+5.15+5.09+5.02+4.97+4.84+4.99+5.13+5.23+4.85+4.79+5.05+4.94+5.02+4.82+4.91+5.16+5.08+5.08+4.84+4.7+5.12+4.85+5.17+5.26+4.91+5+5.55+5.15+5.02+5.05+5.05+5.18+5.54+5.07+5.43+5.23+5.17+5.39+5.41+5.01+5.22+5.53+5.31+5.17+5.16+5.42+5.55+5.15+5.57+5.7+5.44+5.23+5.3+5.5+5.47+5.71+6.11+5.53+6.12+4.7+4.74+4.7+4.67+4.71+4.77+4.83+4.66+4.78+4.45+4.9+4.62+4.91+4.5+4.97+5.01+4.68+4.76+4.87+4.63+4.9+4.71+4.81+4.9+4.58+4.78+4.91+4.64+4.69+4.74+4.87+4.88+5.14+5.06+4.88+4.87+5.17+5.01+5.44+5.11+5.18+4.82+4.72+5.1+4.74+4.96+5.13+4.98+5.02+4.81+5.21+5.19+5.19+5.07+5.17+4.96+5.26+4.85+5.22+4.93+5.26+5.01+5.69+5.49+6.11+4.89+5.01+4.91+5.2+4.95+4.84+5.08+4.95+5.03+5.14+5.27+4.86+5.03+5+4.99+5.27+4.9+5.1+5.06+5.22+5.08+5.05+4.9+5.25+5.12+5.11+5.23+4.88+5.09+5.13+5.29+5.35+5.05+5.11+5.27+5.07+5.24+5.35+5.38+5.54+5.25+5.04+5.38+5.12+5.29+5.73+5.17+5.34+5.14+5.2+5.34+5.32+5.68+5.5+5.52+5.4+5.14+5.75+5.45+5.23+5.36+5.49+5.47+5.57+6.75+8.31+6.59+5.31+6.53+8.75+8.34+9.08+8.91+8.63+10.68+4.65+5.39+8.7+5.92+8.35+7.87+11.92+11.25+19.87+24.95+60+12.64+47.61+9.17+10.17+10.35+6.49+7.63+12.23+10.21+17.08+22.67+29.76</f>
        <v>3681.81</v>
      </c>
      <c r="N14" s="1" t="n">
        <f aca="false">(763-L14)*900</f>
        <v>223200</v>
      </c>
    </row>
    <row r="15" customFormat="false" ht="12.8" hidden="false" customHeight="false" outlineLevel="0" collapsed="false">
      <c r="A15" s="1" t="s">
        <v>11</v>
      </c>
      <c r="B15" s="1" t="n">
        <v>12</v>
      </c>
      <c r="C15" s="1" t="n">
        <v>12</v>
      </c>
      <c r="D15" s="1" t="n">
        <v>20.38</v>
      </c>
      <c r="E15" s="1" t="n">
        <f aca="false">(12-C15)*900</f>
        <v>0</v>
      </c>
      <c r="F15" s="1" t="n">
        <v>2</v>
      </c>
      <c r="G15" s="1" t="n">
        <v>7.48</v>
      </c>
      <c r="H15" s="1" t="n">
        <f aca="false">(12-F15)*900</f>
        <v>9000</v>
      </c>
      <c r="I15" s="1" t="n">
        <v>8</v>
      </c>
      <c r="J15" s="1" t="n">
        <v>263.43</v>
      </c>
      <c r="K15" s="1" t="n">
        <f aca="false">(12-I15)*900</f>
        <v>3600</v>
      </c>
      <c r="L15" s="1" t="n">
        <v>8</v>
      </c>
      <c r="M15" s="1" t="n">
        <v>207.07</v>
      </c>
      <c r="N15" s="1" t="n">
        <f aca="false">(12-L15)*900</f>
        <v>3600</v>
      </c>
    </row>
    <row r="16" customFormat="false" ht="12.8" hidden="false" customHeight="false" outlineLevel="0" collapsed="false">
      <c r="A16" s="1" t="s">
        <v>12</v>
      </c>
      <c r="B16" s="1" t="n">
        <v>44</v>
      </c>
      <c r="C16" s="1" t="n">
        <v>37</v>
      </c>
      <c r="D16" s="1" t="n">
        <f aca="false">0.07+0.07+0.19+0.36+0.29+0.07+0.07+0.07+13.76+0.49+0.47+60+4.28+0.09+0.07+32.22+0.07+0.07+0.05+0.08+0.35+0.12+0.07+0.62+0.05+0.29+0.13+0.16+0.32+0.37+0.36+0.29+19.37+0.12+0.42+0.11+0.32+0.05+0.06+0.15+0.07+0.37+0.06</f>
        <v>137.07</v>
      </c>
      <c r="E16" s="1" t="n">
        <f aca="false">(44-C16)*900</f>
        <v>6300</v>
      </c>
      <c r="F16" s="1" t="n">
        <v>26</v>
      </c>
      <c r="G16" s="1" t="n">
        <v>21.77</v>
      </c>
      <c r="H16" s="1" t="n">
        <f aca="false">(44-F16)*900</f>
        <v>16200</v>
      </c>
      <c r="I16" s="1" t="n">
        <v>21</v>
      </c>
      <c r="J16" s="1" t="n">
        <f aca="false">20*60+25.9</f>
        <v>1225.9</v>
      </c>
      <c r="K16" s="1" t="n">
        <f aca="false">(44-I16)*900</f>
        <v>20700</v>
      </c>
      <c r="L16" s="1" t="n">
        <v>21</v>
      </c>
      <c r="M16" s="1" t="n">
        <v>189.11</v>
      </c>
      <c r="N16" s="1" t="n">
        <f aca="false">(44-L16)*900</f>
        <v>20700</v>
      </c>
    </row>
    <row r="17" customFormat="false" ht="12.8" hidden="false" customHeight="false" outlineLevel="0" collapsed="false">
      <c r="A17" s="1" t="s">
        <v>13</v>
      </c>
      <c r="B17" s="1" t="n">
        <v>8</v>
      </c>
      <c r="C17" s="1" t="n">
        <v>8</v>
      </c>
      <c r="D17" s="1" t="n">
        <v>2.52</v>
      </c>
      <c r="E17" s="1" t="n">
        <f aca="false">(8-C17)*900</f>
        <v>0</v>
      </c>
      <c r="F17" s="1" t="n">
        <v>0</v>
      </c>
      <c r="G17" s="1" t="n">
        <v>0</v>
      </c>
      <c r="H17" s="1" t="n">
        <f aca="false">(8-F17)*900</f>
        <v>7200</v>
      </c>
      <c r="I17" s="1" t="n">
        <v>0</v>
      </c>
      <c r="J17" s="1" t="n">
        <v>0</v>
      </c>
      <c r="K17" s="1" t="n">
        <f aca="false">(8-I17)*900</f>
        <v>7200</v>
      </c>
      <c r="L17" s="1" t="n">
        <v>3</v>
      </c>
      <c r="M17" s="1" t="n">
        <v>14.65</v>
      </c>
      <c r="N17" s="1" t="n">
        <f aca="false">(8-L17)*900</f>
        <v>4500</v>
      </c>
    </row>
    <row r="18" customFormat="false" ht="12.8" hidden="false" customHeight="false" outlineLevel="0" collapsed="false">
      <c r="A18" s="1" t="s">
        <v>14</v>
      </c>
      <c r="B18" s="1" t="n">
        <f aca="false">SUM(B14:B17)</f>
        <v>827</v>
      </c>
      <c r="C18" s="1" t="n">
        <f aca="false">SUM(C14:C17)</f>
        <v>804</v>
      </c>
      <c r="D18" s="1" t="n">
        <f aca="false">SUM(D14:D17)</f>
        <v>10781.68</v>
      </c>
      <c r="E18" s="1" t="n">
        <f aca="false">SUM(E14:E17)</f>
        <v>20700</v>
      </c>
      <c r="F18" s="1" t="n">
        <f aca="false">SUM(F14:F17)</f>
        <v>706</v>
      </c>
      <c r="G18" s="1" t="n">
        <f aca="false">SUM(G14:G17)</f>
        <v>12049.54</v>
      </c>
      <c r="H18" s="1" t="n">
        <f aca="false">SUM(H14:H17)</f>
        <v>108900</v>
      </c>
      <c r="I18" s="1" t="n">
        <f aca="false">SUM(I14:I17)</f>
        <v>650</v>
      </c>
      <c r="J18" s="1" t="n">
        <f aca="false">SUM(J14:J17)</f>
        <v>17741.85</v>
      </c>
      <c r="K18" s="1" t="n">
        <f aca="false">SUM(K14:K17)</f>
        <v>159300</v>
      </c>
      <c r="L18" s="1" t="n">
        <f aca="false">SUM(L14:L17)</f>
        <v>547</v>
      </c>
      <c r="M18" s="1" t="n">
        <f aca="false">SUM(M14:M17)</f>
        <v>4092.64</v>
      </c>
      <c r="N18" s="1" t="n">
        <f aca="false">SUM(N14:N17)</f>
        <v>252000</v>
      </c>
    </row>
    <row r="19" customFormat="false" ht="12.8" hidden="false" customHeight="false" outlineLevel="0" collapsed="false">
      <c r="A19" s="1" t="s">
        <v>23</v>
      </c>
      <c r="D19" s="12" t="n">
        <f aca="false">(D18+E18)/B18</f>
        <v>38.0673276904474</v>
      </c>
      <c r="G19" s="13" t="n">
        <f aca="false">(G18+H18)/B18</f>
        <v>146.250955259976</v>
      </c>
      <c r="J19" s="14" t="n">
        <f aca="false">(J18+K18)/B18</f>
        <v>214.077206771463</v>
      </c>
      <c r="M19" s="15" t="n">
        <f aca="false">(M18+N18)/B18</f>
        <v>309.6646191052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4157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2024-05-02T18:50:47Z</dcterms:created>
  <dc:creator/>
  <dc:description/>
  <dc:language>en-IN</dc:language>
  <cp:lastModifiedBy/>
  <dcterms:modified xsi:type="dcterms:W3CDTF">2025-05-18T19:49:31Z</dcterms:modified>
  <cp:revision>389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